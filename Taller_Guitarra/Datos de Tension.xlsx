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<sst xmlns="http://schemas.openxmlformats.org/spreadsheetml/2006/main" count="10" uniqueCount="9">
  <si>
    <t>Masas</t>
  </si>
  <si>
    <t>Angulos(DEG)</t>
  </si>
  <si>
    <t>Angulos(rad)</t>
  </si>
  <si>
    <t>Tensiones</t>
  </si>
  <si>
    <t>Frecuencias</t>
  </si>
  <si>
    <t>f_0</t>
  </si>
  <si>
    <t>f prom</t>
  </si>
  <si>
    <t>T log</t>
  </si>
  <si>
    <t>F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</si>
</sst>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Frecuencias frente a Tensiones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1'!$E$2:$E$16</c:f>
            </c:numRef>
          </c:xVal>
          <c:yVal>
            <c:numRef>
              <c:f>'Hoja 1'!$F$2:$F$16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3421110"/>
        <c:axId val="1451064258"/>
      </c:scatterChart>
      <c:valAx>
        <c:axId val="12734211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Tensiones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1064258"/>
      </c:valAx>
      <c:valAx>
        <c:axId val="1451064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Frecuencias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3421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 log frente a T log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1'!$N$1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dPt>
            <c:idx val="2"/>
            <c:marker>
              <c:symbol val="none"/>
            </c:marker>
          </c:dPt>
          <c:dPt>
            <c:idx val="12"/>
            <c:marker>
              <c:symbol val="none"/>
            </c:marker>
          </c:dPt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'Hoja 1'!$M$2:$M$16</c:f>
            </c:numRef>
          </c:xVal>
          <c:yVal>
            <c:numRef>
              <c:f>'Hoja 1'!$N$2:$N$16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9201486"/>
        <c:axId val="322227137"/>
      </c:scatterChart>
      <c:valAx>
        <c:axId val="17692014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 log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2227137"/>
      </c:valAx>
      <c:valAx>
        <c:axId val="3222271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 log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92014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542925</xdr:colOff>
      <xdr:row>18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495300</xdr:colOff>
      <xdr:row>13</xdr:row>
      <xdr:rowOff>142875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H1" s="1" t="s">
        <v>4</v>
      </c>
      <c r="I1" s="1" t="s">
        <v>5</v>
      </c>
      <c r="K1" s="1" t="s">
        <v>6</v>
      </c>
      <c r="M1" s="1" t="s">
        <v>7</v>
      </c>
      <c r="N1" s="1" t="s">
        <v>8</v>
      </c>
    </row>
    <row r="2">
      <c r="A2" s="1">
        <v>220.0</v>
      </c>
      <c r="B2" s="1">
        <v>1.0</v>
      </c>
      <c r="C2" s="1">
        <v>1.1</v>
      </c>
      <c r="D2" s="2">
        <f t="shared" ref="D2:D16" si="2">C2*PI()/180</f>
        <v>0.01919862177</v>
      </c>
      <c r="E2" s="2">
        <f t="shared" ref="E2:E16" si="3">(A2*POW(10,-3)*9.81)/(2*SIN(D2))</f>
        <v>56.21061272</v>
      </c>
      <c r="F2" s="2">
        <v>107.82</v>
      </c>
      <c r="H2" s="1">
        <v>61.36</v>
      </c>
      <c r="I2" s="2">
        <f t="shared" ref="I2:I7" si="4">H3-H2</f>
        <v>60.96</v>
      </c>
      <c r="K2" s="2">
        <f>SUM(I2:I12)/6</f>
        <v>61.68833333</v>
      </c>
      <c r="M2" s="2">
        <f t="shared" ref="M2:N2" si="1">log(E2,10)</f>
        <v>1.749818319</v>
      </c>
      <c r="N2" s="2">
        <f t="shared" si="1"/>
        <v>2.032699327</v>
      </c>
    </row>
    <row r="3">
      <c r="A3" s="1">
        <v>220.0</v>
      </c>
      <c r="B3" s="1">
        <v>2.0</v>
      </c>
      <c r="C3" s="1">
        <v>1.5</v>
      </c>
      <c r="D3" s="2">
        <f t="shared" si="2"/>
        <v>0.02617993878</v>
      </c>
      <c r="E3" s="2">
        <f t="shared" si="3"/>
        <v>41.22329262</v>
      </c>
      <c r="F3" s="1">
        <v>93.33</v>
      </c>
      <c r="H3" s="1">
        <v>122.32</v>
      </c>
      <c r="I3" s="2">
        <f t="shared" si="4"/>
        <v>60.83</v>
      </c>
      <c r="M3" s="2">
        <f t="shared" ref="M3:N3" si="5">log(E3,10)</f>
        <v>1.615142677</v>
      </c>
      <c r="N3" s="2">
        <f t="shared" si="5"/>
        <v>1.970021266</v>
      </c>
    </row>
    <row r="4">
      <c r="A4" s="1">
        <v>220.0</v>
      </c>
      <c r="B4" s="1">
        <v>3.0</v>
      </c>
      <c r="C4" s="1">
        <v>1.7</v>
      </c>
      <c r="D4" s="2">
        <f t="shared" si="2"/>
        <v>0.02967059728</v>
      </c>
      <c r="E4" s="2">
        <f t="shared" si="3"/>
        <v>36.37467544</v>
      </c>
      <c r="F4" s="1">
        <v>82.67</v>
      </c>
      <c r="H4" s="1">
        <v>183.15</v>
      </c>
      <c r="I4" s="2">
        <f t="shared" si="4"/>
        <v>60.97</v>
      </c>
      <c r="M4" s="2">
        <f t="shared" ref="M4:N4" si="6">log(E4,10)</f>
        <v>1.560799127</v>
      </c>
      <c r="N4" s="2">
        <f t="shared" si="6"/>
        <v>1.917347938</v>
      </c>
    </row>
    <row r="5">
      <c r="A5" s="1">
        <v>220.0</v>
      </c>
      <c r="B5" s="1">
        <v>4.0</v>
      </c>
      <c r="C5" s="1">
        <v>2.2</v>
      </c>
      <c r="D5" s="2">
        <f t="shared" si="2"/>
        <v>0.03839724354</v>
      </c>
      <c r="E5" s="2">
        <f t="shared" si="3"/>
        <v>28.11048678</v>
      </c>
      <c r="F5" s="2">
        <v>77.25428571428571</v>
      </c>
      <c r="H5" s="1">
        <v>244.12</v>
      </c>
      <c r="I5" s="2">
        <f t="shared" si="4"/>
        <v>61.49</v>
      </c>
      <c r="M5" s="2">
        <f t="shared" ref="M5:N5" si="7">log(E5,10)</f>
        <v>1.448868366</v>
      </c>
      <c r="N5" s="2">
        <f t="shared" si="7"/>
        <v>1.887922581</v>
      </c>
    </row>
    <row r="6">
      <c r="A6" s="1">
        <v>220.0</v>
      </c>
      <c r="B6" s="1">
        <v>5.0</v>
      </c>
      <c r="C6" s="1">
        <v>2.6</v>
      </c>
      <c r="D6" s="2">
        <f t="shared" si="2"/>
        <v>0.04537856055</v>
      </c>
      <c r="E6" s="2">
        <f t="shared" si="3"/>
        <v>23.78811548</v>
      </c>
      <c r="F6" s="2">
        <v>69.0725</v>
      </c>
      <c r="H6" s="1">
        <v>305.61</v>
      </c>
      <c r="I6" s="2">
        <f t="shared" si="4"/>
        <v>63.33</v>
      </c>
      <c r="M6" s="2">
        <f t="shared" ref="M6:N6" si="8">log(E6,10)</f>
        <v>1.376360038</v>
      </c>
      <c r="N6" s="2">
        <f t="shared" si="8"/>
        <v>1.839305175</v>
      </c>
    </row>
    <row r="7">
      <c r="A7" s="1">
        <v>220.0</v>
      </c>
      <c r="B7" s="1">
        <v>6.0</v>
      </c>
      <c r="C7" s="1">
        <v>2.8</v>
      </c>
      <c r="D7" s="2">
        <f t="shared" si="2"/>
        <v>0.04886921906</v>
      </c>
      <c r="E7" s="2">
        <f t="shared" si="3"/>
        <v>22.09017575</v>
      </c>
      <c r="F7" s="2">
        <v>62.7825</v>
      </c>
      <c r="H7" s="1">
        <v>368.94</v>
      </c>
      <c r="I7" s="2">
        <f t="shared" si="4"/>
        <v>62.55</v>
      </c>
      <c r="M7" s="2">
        <f t="shared" ref="M7:N7" si="9">log(E7,10)</f>
        <v>1.344199171</v>
      </c>
      <c r="N7" s="2">
        <f t="shared" si="9"/>
        <v>1.797838605</v>
      </c>
    </row>
    <row r="8">
      <c r="A8" s="1">
        <v>220.0</v>
      </c>
      <c r="B8" s="1">
        <v>7.0</v>
      </c>
      <c r="C8" s="1">
        <v>3.2</v>
      </c>
      <c r="D8" s="2">
        <f t="shared" si="2"/>
        <v>0.05585053606</v>
      </c>
      <c r="E8" s="2">
        <f t="shared" si="3"/>
        <v>19.33125952</v>
      </c>
      <c r="F8" s="2">
        <v>56.01666666666667</v>
      </c>
      <c r="H8" s="1">
        <v>431.49</v>
      </c>
      <c r="I8" s="1">
        <v>0.0</v>
      </c>
      <c r="M8" s="2">
        <f t="shared" ref="M8:N8" si="10">log(E8,10)</f>
        <v>1.286260151</v>
      </c>
      <c r="N8" s="2">
        <f t="shared" si="10"/>
        <v>1.748317262</v>
      </c>
    </row>
    <row r="9">
      <c r="A9" s="1">
        <v>220.0</v>
      </c>
      <c r="B9" s="1">
        <v>8.0</v>
      </c>
      <c r="C9" s="1">
        <v>3.5</v>
      </c>
      <c r="D9" s="2">
        <f t="shared" si="2"/>
        <v>0.06108652382</v>
      </c>
      <c r="E9" s="2">
        <f t="shared" si="3"/>
        <v>17.67609853</v>
      </c>
      <c r="F9" s="2">
        <v>49.675</v>
      </c>
      <c r="I9" s="1">
        <v>0.0</v>
      </c>
      <c r="M9" s="2">
        <f t="shared" ref="M9:N9" si="11">log(E9,10)</f>
        <v>1.247386414</v>
      </c>
      <c r="N9" s="2">
        <f t="shared" si="11"/>
        <v>1.696137876</v>
      </c>
    </row>
    <row r="10">
      <c r="A10" s="1">
        <v>220.0</v>
      </c>
      <c r="B10" s="1">
        <v>9.0</v>
      </c>
      <c r="C10" s="1">
        <v>4.0</v>
      </c>
      <c r="D10" s="2">
        <f t="shared" si="2"/>
        <v>0.06981317008</v>
      </c>
      <c r="E10" s="2">
        <f t="shared" si="3"/>
        <v>15.46953196</v>
      </c>
      <c r="F10" s="2">
        <v>45.7425</v>
      </c>
      <c r="I10" s="1">
        <v>0.0</v>
      </c>
      <c r="M10" s="2">
        <f t="shared" ref="M10:N10" si="12">log(E10,10)</f>
        <v>1.189477174</v>
      </c>
      <c r="N10" s="2">
        <f t="shared" si="12"/>
        <v>1.660319897</v>
      </c>
    </row>
    <row r="11">
      <c r="A11" s="1">
        <v>220.0</v>
      </c>
      <c r="B11" s="1">
        <v>10.0</v>
      </c>
      <c r="C11" s="1">
        <v>4.7</v>
      </c>
      <c r="D11" s="2">
        <f t="shared" si="2"/>
        <v>0.08203047484</v>
      </c>
      <c r="E11" s="2">
        <f t="shared" si="3"/>
        <v>13.16963194</v>
      </c>
      <c r="F11" s="1">
        <v>42.73</v>
      </c>
      <c r="I11" s="1">
        <v>0.0</v>
      </c>
      <c r="M11" s="2">
        <f t="shared" ref="M11:N11" si="13">log(E11,10)</f>
        <v>1.119573637</v>
      </c>
      <c r="N11" s="2">
        <f t="shared" si="13"/>
        <v>1.630732893</v>
      </c>
    </row>
    <row r="12">
      <c r="A12" s="1">
        <v>150.0</v>
      </c>
      <c r="B12" s="1">
        <v>11.0</v>
      </c>
      <c r="C12" s="1">
        <v>0.9</v>
      </c>
      <c r="D12" s="2">
        <f t="shared" si="2"/>
        <v>0.01570796327</v>
      </c>
      <c r="E12" s="2">
        <f t="shared" si="3"/>
        <v>46.841226</v>
      </c>
      <c r="F12" s="2">
        <v>108.04999999999998</v>
      </c>
      <c r="M12" s="2">
        <f t="shared" ref="M12:N12" si="14">log(E12,10)</f>
        <v>1.670628254</v>
      </c>
      <c r="N12" s="2">
        <f t="shared" si="14"/>
        <v>2.033624771</v>
      </c>
    </row>
    <row r="13">
      <c r="A13" s="1">
        <v>150.0</v>
      </c>
      <c r="B13" s="1">
        <v>12.0</v>
      </c>
      <c r="C13" s="1">
        <v>1.2</v>
      </c>
      <c r="D13" s="2">
        <f t="shared" si="2"/>
        <v>0.02094395102</v>
      </c>
      <c r="E13" s="2">
        <f t="shared" si="3"/>
        <v>35.1320432</v>
      </c>
      <c r="F13" s="2">
        <v>88.11166666666666</v>
      </c>
      <c r="M13" s="2">
        <f t="shared" ref="M13:N13" si="15">log(E13,10)</f>
        <v>1.545703408</v>
      </c>
      <c r="N13" s="2">
        <f t="shared" si="15"/>
        <v>1.945033416</v>
      </c>
    </row>
    <row r="14">
      <c r="A14" s="1">
        <v>150.0</v>
      </c>
      <c r="B14" s="1">
        <v>13.0</v>
      </c>
      <c r="C14" s="1">
        <v>1.4</v>
      </c>
      <c r="D14" s="2">
        <f t="shared" si="2"/>
        <v>0.02443460953</v>
      </c>
      <c r="E14" s="2">
        <f t="shared" si="3"/>
        <v>30.11397491</v>
      </c>
      <c r="F14" s="2">
        <v>78.53</v>
      </c>
      <c r="M14" s="2">
        <f t="shared" ref="M14:N14" si="16">log(E14,10)</f>
        <v>1.478768084</v>
      </c>
      <c r="N14" s="2">
        <f t="shared" si="16"/>
        <v>1.895035597</v>
      </c>
    </row>
    <row r="15">
      <c r="A15" s="1">
        <v>150.0</v>
      </c>
      <c r="B15" s="1">
        <v>14.0</v>
      </c>
      <c r="C15" s="1">
        <v>1.8</v>
      </c>
      <c r="D15" s="2">
        <f t="shared" si="2"/>
        <v>0.03141592654</v>
      </c>
      <c r="E15" s="2">
        <f t="shared" si="3"/>
        <v>23.4235027</v>
      </c>
      <c r="F15" s="2">
        <v>69.0025</v>
      </c>
      <c r="M15" s="2">
        <f t="shared" ref="M15:N15" si="17">log(E15,10)</f>
        <v>1.369651839</v>
      </c>
      <c r="N15" s="2">
        <f t="shared" si="17"/>
        <v>1.838864826</v>
      </c>
    </row>
    <row r="16">
      <c r="A16" s="1">
        <v>150.0</v>
      </c>
      <c r="B16" s="1">
        <v>15.0</v>
      </c>
      <c r="C16" s="1">
        <v>1.9</v>
      </c>
      <c r="D16" s="2">
        <f t="shared" si="2"/>
        <v>0.03316125579</v>
      </c>
      <c r="E16" s="2">
        <f t="shared" si="3"/>
        <v>22.19110365</v>
      </c>
      <c r="F16" s="2">
        <v>61.68833333333333</v>
      </c>
      <c r="M16" s="2">
        <f t="shared" ref="M16:N16" si="18">log(E16,10)</f>
        <v>1.346178902</v>
      </c>
      <c r="N16" s="2">
        <f t="shared" si="18"/>
        <v>1.790203037</v>
      </c>
    </row>
    <row r="17">
      <c r="A17" s="1">
        <v>150.0</v>
      </c>
      <c r="B17" s="1">
        <v>16.0</v>
      </c>
    </row>
    <row r="18">
      <c r="A18" s="1">
        <v>150.0</v>
      </c>
      <c r="B18" s="1">
        <v>17.0</v>
      </c>
    </row>
    <row r="19">
      <c r="A19" s="1">
        <v>150.0</v>
      </c>
      <c r="B19" s="1">
        <v>18.0</v>
      </c>
    </row>
    <row r="20">
      <c r="A20" s="1">
        <v>150.0</v>
      </c>
      <c r="B20" s="1">
        <v>19.0</v>
      </c>
    </row>
    <row r="21">
      <c r="A21" s="1">
        <v>120.0</v>
      </c>
      <c r="B21" s="1">
        <v>20.0</v>
      </c>
    </row>
    <row r="22">
      <c r="A22" s="1">
        <v>120.0</v>
      </c>
      <c r="B22" s="1">
        <v>21.0</v>
      </c>
      <c r="M22" s="2">
        <f>POW(10,0.865)</f>
        <v>7.328245331</v>
      </c>
    </row>
    <row r="23">
      <c r="A23" s="1">
        <v>120.0</v>
      </c>
      <c r="B23" s="1">
        <v>22.0</v>
      </c>
    </row>
    <row r="24">
      <c r="A24" s="1">
        <v>120.0</v>
      </c>
      <c r="B24" s="1">
        <v>23.0</v>
      </c>
    </row>
    <row r="25">
      <c r="A25" s="1">
        <v>120.0</v>
      </c>
      <c r="B25" s="1">
        <v>24.0</v>
      </c>
    </row>
    <row r="26">
      <c r="A26" s="1">
        <v>120.0</v>
      </c>
      <c r="B26" s="1">
        <v>25.0</v>
      </c>
    </row>
    <row r="27">
      <c r="A27" s="1">
        <v>120.0</v>
      </c>
      <c r="B27" s="1">
        <v>26.0</v>
      </c>
    </row>
    <row r="28">
      <c r="A28" s="1">
        <v>120.0</v>
      </c>
      <c r="B28" s="1">
        <v>27.0</v>
      </c>
    </row>
    <row r="29">
      <c r="A29" s="1">
        <v>120.0</v>
      </c>
      <c r="B29" s="1">
        <v>28.0</v>
      </c>
    </row>
    <row r="30">
      <c r="A30" s="1">
        <v>120.0</v>
      </c>
      <c r="B30" s="1">
        <v>29.0</v>
      </c>
    </row>
    <row r="31">
      <c r="A31" s="1">
        <v>120.0</v>
      </c>
      <c r="B31" s="1">
        <v>30.0</v>
      </c>
    </row>
  </sheetData>
  <drawing r:id="rId1"/>
</worksheet>
</file>